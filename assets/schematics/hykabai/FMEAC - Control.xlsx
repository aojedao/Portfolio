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K1">
      <text>
        <t xml:space="preserve">1/2 - Very unlikely -  &gt;10 years
3/4 - Remote -  Yearly
5/6 - Occasional - Monthly
7/8 - Probable - Weekly
9/10 - Frequent - Daily</t>
      </text>
    </comment>
    <comment authorId="0" ref="L1">
      <text>
        <t xml:space="preserve">10 - Failure will result in major customer 
        dissatisfaction and cause non-system 
        operation or non-compliance with 
        government regulations.
8/9 - Failure will result in high degree of 
        customer dissatisfactionand cause 
        non-functionality of system
6/7 - Failure will result in customer 
         dissatisfaction and annoyanceand/or 
         deterioration of part of system 
         performance
3/5 - Failure will result in slight customer 
         annoyance and/or slightdeterioration 
         of part of system performance
1/2 - Failure is of such minor nature that 
         the customer (internal or external)will 
         probably not detect the failure</t>
      </text>
    </comment>
    <comment authorId="0" ref="M1">
      <text>
        <t xml:space="preserve">1/10 - the rank of the likelihood the the failure will be detected before thesystem reaches the end-user/customer.</t>
      </text>
    </comment>
    <comment authorId="0" ref="N1">
      <text>
        <t xml:space="preserve">The higher, the more urgent</t>
      </text>
    </comment>
    <comment authorId="0" ref="C2">
      <text>
        <t xml:space="preserve">State in which the system is working, e.g. idle, standby, running, take-off, landing, etc</t>
      </text>
    </comment>
  </commentList>
</comments>
</file>

<file path=xl/sharedStrings.xml><?xml version="1.0" encoding="utf-8"?>
<sst xmlns="http://schemas.openxmlformats.org/spreadsheetml/2006/main" count="275" uniqueCount="156">
  <si>
    <t>Description</t>
  </si>
  <si>
    <t>Description of Failure</t>
  </si>
  <si>
    <t>Effect of failure</t>
  </si>
  <si>
    <t>Failure Type</t>
  </si>
  <si>
    <t>Preventive and corrective actions</t>
  </si>
  <si>
    <t>Failure Rate (S)</t>
  </si>
  <si>
    <t>Severity Ranking (O)</t>
  </si>
  <si>
    <t>Early Detection Likelihood (D)</t>
  </si>
  <si>
    <t>RPN</t>
  </si>
  <si>
    <t>Component</t>
  </si>
  <si>
    <t>Function</t>
  </si>
  <si>
    <t>Operational Mode</t>
  </si>
  <si>
    <t>Failure modes</t>
  </si>
  <si>
    <t>Failure causes</t>
  </si>
  <si>
    <t>Detection of failure</t>
  </si>
  <si>
    <t>On the subsystem</t>
  </si>
  <si>
    <t>On the system Function</t>
  </si>
  <si>
    <t>Power Bank</t>
  </si>
  <si>
    <t>Provide Electric Power to Raspberry Pi</t>
  </si>
  <si>
    <t>Any</t>
  </si>
  <si>
    <t>Discharge</t>
  </si>
  <si>
    <t>Not properly charged</t>
  </si>
  <si>
    <t>Yes</t>
  </si>
  <si>
    <t>RPi won't turn on</t>
  </si>
  <si>
    <t>Robot will not turn on</t>
  </si>
  <si>
    <t>Human error</t>
  </si>
  <si>
    <t>Charge the Power Bank constantly and always check its level</t>
  </si>
  <si>
    <t>RPLidar</t>
  </si>
  <si>
    <t>Sense distance to nearby surfaces</t>
  </si>
  <si>
    <t>Navigation and Mapping</t>
  </si>
  <si>
    <t>Data Loss</t>
  </si>
  <si>
    <t>Communication permission in port 666 is not configured</t>
  </si>
  <si>
    <t>No data from the LIDAR will be recieved</t>
  </si>
  <si>
    <t>No SLAM will be available</t>
  </si>
  <si>
    <t>Coding Error</t>
  </si>
  <si>
    <t>Create a bash script to include this command. Always connect de RPLidar first than any other USB device</t>
  </si>
  <si>
    <t>Fail to Start</t>
  </si>
  <si>
    <t>Energy source is too small to feed the LIDAR</t>
  </si>
  <si>
    <t>Hidden</t>
  </si>
  <si>
    <t>LIDAR will turn too slowly or not turn</t>
  </si>
  <si>
    <t>SLAM will be slower</t>
  </si>
  <si>
    <t>Power Supply Error</t>
  </si>
  <si>
    <t>Check the Power Bank is rated for &gt;2A</t>
  </si>
  <si>
    <t>Lipo Battery</t>
  </si>
  <si>
    <t>Provide Electric Power to BeagleBone Blue</t>
  </si>
  <si>
    <t>Motors will not turn</t>
  </si>
  <si>
    <t>Robot won't move</t>
  </si>
  <si>
    <t>Charge the Lipo constantly and always check its level</t>
  </si>
  <si>
    <t>Risk Matrix</t>
  </si>
  <si>
    <t>DC Gearmotor</t>
  </si>
  <si>
    <t>Move the Robot</t>
  </si>
  <si>
    <t>Movement</t>
  </si>
  <si>
    <t>Power Transmission Loss</t>
  </si>
  <si>
    <t>Reductor is not properly screwed</t>
  </si>
  <si>
    <t>Robot won't move, or move inconsistently, even tho motors are running</t>
  </si>
  <si>
    <t>Robot won't move correctly</t>
  </si>
  <si>
    <t>Assembly error</t>
  </si>
  <si>
    <t>Check the motors movement before starting the robot</t>
  </si>
  <si>
    <t>Frequency/consecuence</t>
  </si>
  <si>
    <t>1 ( Very unlikely)</t>
  </si>
  <si>
    <t>2 (Remote)</t>
  </si>
  <si>
    <t xml:space="preserve">3 (Occasional) </t>
  </si>
  <si>
    <t>4 ( Probable)</t>
  </si>
  <si>
    <t>5 (Frequent)</t>
  </si>
  <si>
    <t>Turning in the Opposite Direction</t>
  </si>
  <si>
    <t>Motor wires are soldered in the opposite direction</t>
  </si>
  <si>
    <t>Robot will turn the wrong way</t>
  </si>
  <si>
    <t>Uncontrollable trajectory</t>
  </si>
  <si>
    <t>Run basic tests like moving forward or backward using the rc library test functions</t>
  </si>
  <si>
    <t>Catastrophic</t>
  </si>
  <si>
    <t>Motor Connected to wrong connector</t>
  </si>
  <si>
    <t>Critical</t>
  </si>
  <si>
    <t>Motor Stopped</t>
  </si>
  <si>
    <t>Only one motor will move</t>
  </si>
  <si>
    <t>Permanent circles trajectory</t>
  </si>
  <si>
    <t>Major</t>
  </si>
  <si>
    <t>Broken Motor Wires</t>
  </si>
  <si>
    <t>Component Failure</t>
  </si>
  <si>
    <t>Minor</t>
  </si>
  <si>
    <t>Faulty soldering in the motor pins</t>
  </si>
  <si>
    <t>Visually inspect the soldering, and check continuity on the cable</t>
  </si>
  <si>
    <t>Encoder</t>
  </si>
  <si>
    <t>Capture odometry data</t>
  </si>
  <si>
    <t>Movement, Navigation</t>
  </si>
  <si>
    <t>Failure to Start</t>
  </si>
  <si>
    <t>Faulty soldering on the encoder pins</t>
  </si>
  <si>
    <t>No encoder data will be registered</t>
  </si>
  <si>
    <t>Encoder connected to wrong pin</t>
  </si>
  <si>
    <t>Run basic tests like reading encoder values using the rc library test functions</t>
  </si>
  <si>
    <t>Normal encoder function, rather than EQUEP Encoder function is selected</t>
  </si>
  <si>
    <t>Raspberry Pi</t>
  </si>
  <si>
    <t>Power Bank is disconnected</t>
  </si>
  <si>
    <t>Visually inspect connections</t>
  </si>
  <si>
    <t>Error in SD Card</t>
  </si>
  <si>
    <t>When all other tests have been analyzed, try the SD card on another RPi, or checking it on a PC to see if it is recognized</t>
  </si>
  <si>
    <t>Power Bank is discharged</t>
  </si>
  <si>
    <t>VNC Server not connecting</t>
  </si>
  <si>
    <t>Wifi or Ethernet is not connected to local LAN network</t>
  </si>
  <si>
    <t>Inability to visualize desktop enviroment</t>
  </si>
  <si>
    <t>Uncontrollable robot</t>
  </si>
  <si>
    <t>Configuration error</t>
  </si>
  <si>
    <t>Configure this values in the OS Flashing phase, if necessary use an ethernet cable and connect to it using it's identified IP</t>
  </si>
  <si>
    <t>VNC is disabled in RPi</t>
  </si>
  <si>
    <t>It must be configured in the OS flashing phase, otherwise, flash it again, or use a screen connected to the video port to configure it</t>
  </si>
  <si>
    <t>Cannot access to BeagleBone CLI</t>
  </si>
  <si>
    <t>USB A to MicroUSB B cable is faulty</t>
  </si>
  <si>
    <t>Unable to run movement nodes</t>
  </si>
  <si>
    <t>Check the 192.168.7.2 address ping response</t>
  </si>
  <si>
    <t>BeagleBone Blue is not connected to RPi</t>
  </si>
  <si>
    <t>Visually inspect the connections</t>
  </si>
  <si>
    <t>BeagleBone OS is still booting up</t>
  </si>
  <si>
    <t>Wait 30-45 seconds before both SBC's have been booted to check connection</t>
  </si>
  <si>
    <t>Failure to Start Roscore</t>
  </si>
  <si>
    <t>ROS enviroment is not properly setup</t>
  </si>
  <si>
    <t>Unable to run ros nodes</t>
  </si>
  <si>
    <t>Run roscore first, always</t>
  </si>
  <si>
    <t>Not recieving data from BeagleBone Blue</t>
  </si>
  <si>
    <t>ROS_IP variables are not correctly configured in BeagleBone and RPi</t>
  </si>
  <si>
    <t>Run rostopic list, and rostopic echo to check if data from the BeagleBone is being recieved</t>
  </si>
  <si>
    <t>BeagleBone Blue</t>
  </si>
  <si>
    <t>Lipo is Discharged</t>
  </si>
  <si>
    <t>BeagleBone won't turn on</t>
  </si>
  <si>
    <t>Lipo Balance connector is not working</t>
  </si>
  <si>
    <t>Never leave the Lipo connected indefinitely to the port, check if LED lights turn on when connecting it</t>
  </si>
  <si>
    <t>SSH access password is wrong, and you can use default values</t>
  </si>
  <si>
    <t>Not connecting to RPi</t>
  </si>
  <si>
    <t>OS not being recognized (SD Card got corrupted)</t>
  </si>
  <si>
    <t>Wrong OS and configuration will be loaded</t>
  </si>
  <si>
    <t>Test SD Card on another machine, like BeagleBone or PC to see if it's recognized</t>
  </si>
  <si>
    <t>microUSB port is faulty</t>
  </si>
  <si>
    <t>Check if BeagleBone is turning on, be careful when disconnecting it</t>
  </si>
  <si>
    <t>Not able to run robotics cape library</t>
  </si>
  <si>
    <t>Insufficient owner rights</t>
  </si>
  <si>
    <t>rc library will not work</t>
  </si>
  <si>
    <t>Verify you can run rc library tests, otherwise check where the library is installed and check it's owner rights</t>
  </si>
  <si>
    <t>Not able to install packages from apt-get</t>
  </si>
  <si>
    <t>Due to the custom OS, pacakges must be installed from source</t>
  </si>
  <si>
    <t>ROS packages can't be installed</t>
  </si>
  <si>
    <t>Unable to update/fix robot issues</t>
  </si>
  <si>
    <t>Install all packager from source always</t>
  </si>
  <si>
    <t>Motor Support</t>
  </si>
  <si>
    <t>Mechanical Failure</t>
  </si>
  <si>
    <t>The inverse structure overloads the v1 design</t>
  </si>
  <si>
    <t>Motors will separate from the structure</t>
  </si>
  <si>
    <t>Use v2 Motor supports</t>
  </si>
  <si>
    <t>Disassembly</t>
  </si>
  <si>
    <t>Screws not tightened correctly</t>
  </si>
  <si>
    <t>Move the robot physically and check it's stability</t>
  </si>
  <si>
    <t>Mechanical Structure</t>
  </si>
  <si>
    <t>Mechanical Failure in the supporting pins</t>
  </si>
  <si>
    <t>Screws were too tight, or too much weight was added</t>
  </si>
  <si>
    <t>Bases will separate</t>
  </si>
  <si>
    <t>Catastrophic failure</t>
  </si>
  <si>
    <t>Robot drops on its back</t>
  </si>
  <si>
    <t>Poor weight distribution</t>
  </si>
  <si>
    <t>Robot won't stand in correct position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</si>
</sst>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1C4587"/>
        <bgColor rgb="FF1C4587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0" fillId="2" fontId="2" numFmtId="0" xfId="0" applyAlignment="1" applyFont="1">
      <alignment readingOrder="0" shrinkToFit="0" vertical="bottom" wrapText="1"/>
    </xf>
    <xf borderId="0" fillId="2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2" fontId="2" numFmtId="0" xfId="0" applyAlignment="1" applyFont="1">
      <alignment shrinkToFit="0" vertical="bottom" wrapText="1"/>
    </xf>
    <xf borderId="0" fillId="2" fontId="3" numFmtId="0" xfId="0" applyAlignment="1" applyFont="1">
      <alignment shrinkToFit="0" wrapText="1"/>
    </xf>
    <xf borderId="0" fillId="2" fontId="3" numFmtId="0" xfId="0" applyFont="1"/>
    <xf borderId="0" fillId="0" fontId="3" numFmtId="0" xfId="0" applyAlignment="1" applyFont="1">
      <alignment readingOrder="0" shrinkToFit="0" wrapText="1"/>
    </xf>
    <xf borderId="0" fillId="3" fontId="4" numFmtId="0" xfId="0" applyAlignment="1" applyFill="1" applyFont="1">
      <alignment readingOrder="0" shrinkToFit="0" wrapText="1"/>
    </xf>
    <xf borderId="0" fillId="4" fontId="3" numFmtId="0" xfId="0" applyAlignment="1" applyFill="1" applyFont="1">
      <alignment shrinkToFit="0" wrapText="1"/>
    </xf>
    <xf borderId="0" fillId="5" fontId="3" numFmtId="0" xfId="0" applyAlignment="1" applyFill="1" applyFont="1">
      <alignment shrinkToFit="0" wrapText="1"/>
    </xf>
    <xf borderId="0" fillId="6" fontId="3" numFmtId="0" xfId="0" applyAlignment="1" applyFill="1" applyFont="1">
      <alignment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75"/>
    <col customWidth="1" min="3" max="3" width="9.0"/>
    <col customWidth="1" min="4" max="4" width="15.75"/>
    <col customWidth="1" min="5" max="5" width="19.75"/>
    <col customWidth="1" min="6" max="6" width="9.88"/>
    <col customWidth="1" min="7" max="7" width="35.5"/>
    <col customWidth="1" min="8" max="8" width="27.38"/>
    <col customWidth="1" min="9" max="9" width="13.25"/>
    <col customWidth="1" min="10" max="10" width="28.25"/>
  </cols>
  <sheetData>
    <row r="1">
      <c r="A1" s="1" t="s">
        <v>0</v>
      </c>
      <c r="C1" s="1"/>
      <c r="D1" s="1" t="s">
        <v>1</v>
      </c>
      <c r="G1" s="1" t="s">
        <v>2</v>
      </c>
      <c r="I1" s="1" t="s">
        <v>3</v>
      </c>
      <c r="J1" s="1" t="s">
        <v>4</v>
      </c>
      <c r="K1" s="2" t="s">
        <v>5</v>
      </c>
      <c r="L1" s="3" t="s">
        <v>6</v>
      </c>
      <c r="M1" s="3" t="s">
        <v>7</v>
      </c>
      <c r="N1" s="3" t="s">
        <v>8</v>
      </c>
      <c r="O1" s="4"/>
      <c r="P1" s="4"/>
      <c r="W1" s="4"/>
      <c r="X1" s="4"/>
      <c r="Y1" s="4"/>
      <c r="Z1" s="4"/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5"/>
      <c r="J2" s="5"/>
      <c r="K2" s="5"/>
      <c r="L2" s="6"/>
      <c r="M2" s="6"/>
      <c r="N2" s="7"/>
      <c r="O2" s="4"/>
      <c r="P2" s="4"/>
      <c r="W2" s="4"/>
      <c r="X2" s="4"/>
      <c r="Y2" s="4"/>
      <c r="Z2" s="4"/>
    </row>
    <row r="3">
      <c r="A3" s="8" t="s">
        <v>17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 t="s">
        <v>25</v>
      </c>
      <c r="J3" s="8" t="s">
        <v>26</v>
      </c>
      <c r="K3" s="8">
        <v>7.0</v>
      </c>
      <c r="L3" s="8">
        <v>10.0</v>
      </c>
      <c r="M3" s="8">
        <v>2.0</v>
      </c>
      <c r="N3" s="4">
        <f t="shared" ref="N3:N36" si="1">K3*L3*M3</f>
        <v>140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22</v>
      </c>
      <c r="G4" s="8" t="s">
        <v>32</v>
      </c>
      <c r="H4" s="8" t="s">
        <v>33</v>
      </c>
      <c r="I4" s="8" t="s">
        <v>34</v>
      </c>
      <c r="J4" s="8" t="s">
        <v>35</v>
      </c>
      <c r="K4" s="8">
        <v>6.0</v>
      </c>
      <c r="L4" s="8">
        <v>4.0</v>
      </c>
      <c r="M4" s="8">
        <v>4.0</v>
      </c>
      <c r="N4" s="4">
        <f t="shared" si="1"/>
        <v>96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D5" s="8" t="s">
        <v>36</v>
      </c>
      <c r="E5" s="8" t="s">
        <v>37</v>
      </c>
      <c r="F5" s="8" t="s">
        <v>38</v>
      </c>
      <c r="G5" s="8" t="s">
        <v>39</v>
      </c>
      <c r="H5" s="8" t="s">
        <v>40</v>
      </c>
      <c r="I5" s="8" t="s">
        <v>41</v>
      </c>
      <c r="J5" s="8" t="s">
        <v>42</v>
      </c>
      <c r="K5" s="8">
        <v>4.0</v>
      </c>
      <c r="L5" s="8">
        <v>5.0</v>
      </c>
      <c r="M5" s="8">
        <v>4.0</v>
      </c>
      <c r="N5" s="4">
        <f t="shared" si="1"/>
        <v>80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43</v>
      </c>
      <c r="B6" s="8" t="s">
        <v>44</v>
      </c>
      <c r="C6" s="8" t="s">
        <v>19</v>
      </c>
      <c r="D6" s="8" t="s">
        <v>20</v>
      </c>
      <c r="E6" s="8" t="s">
        <v>21</v>
      </c>
      <c r="F6" s="8" t="s">
        <v>22</v>
      </c>
      <c r="G6" s="8" t="s">
        <v>45</v>
      </c>
      <c r="H6" s="8" t="s">
        <v>46</v>
      </c>
      <c r="I6" s="8" t="s">
        <v>25</v>
      </c>
      <c r="J6" s="8" t="s">
        <v>47</v>
      </c>
      <c r="K6" s="8">
        <v>6.0</v>
      </c>
      <c r="L6" s="8">
        <v>8.0</v>
      </c>
      <c r="M6" s="8">
        <v>2.0</v>
      </c>
      <c r="N6" s="4">
        <f t="shared" si="1"/>
        <v>96</v>
      </c>
      <c r="O6" s="4"/>
      <c r="P6" s="4"/>
      <c r="Q6" s="8" t="s">
        <v>48</v>
      </c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49</v>
      </c>
      <c r="B7" s="8" t="s">
        <v>50</v>
      </c>
      <c r="C7" s="8" t="s">
        <v>51</v>
      </c>
      <c r="D7" s="8" t="s">
        <v>52</v>
      </c>
      <c r="E7" s="8" t="s">
        <v>53</v>
      </c>
      <c r="F7" s="8" t="s">
        <v>38</v>
      </c>
      <c r="G7" s="8" t="s">
        <v>54</v>
      </c>
      <c r="H7" s="8" t="s">
        <v>55</v>
      </c>
      <c r="I7" s="8" t="s">
        <v>56</v>
      </c>
      <c r="J7" s="8" t="s">
        <v>57</v>
      </c>
      <c r="K7" s="8">
        <v>3.0</v>
      </c>
      <c r="L7" s="8">
        <v>8.0</v>
      </c>
      <c r="M7" s="8">
        <v>5.0</v>
      </c>
      <c r="N7" s="4">
        <f t="shared" si="1"/>
        <v>120</v>
      </c>
      <c r="O7" s="4"/>
      <c r="P7" s="4"/>
      <c r="Q7" s="9" t="s">
        <v>58</v>
      </c>
      <c r="R7" s="9" t="s">
        <v>59</v>
      </c>
      <c r="S7" s="9" t="s">
        <v>60</v>
      </c>
      <c r="T7" s="9" t="s">
        <v>61</v>
      </c>
      <c r="U7" s="9" t="s">
        <v>62</v>
      </c>
      <c r="V7" s="9" t="s">
        <v>63</v>
      </c>
      <c r="W7" s="4"/>
      <c r="X7" s="4"/>
      <c r="Y7" s="4"/>
      <c r="Z7" s="4"/>
    </row>
    <row r="8" ht="36.75" customHeight="1">
      <c r="D8" s="8" t="s">
        <v>64</v>
      </c>
      <c r="E8" s="8" t="s">
        <v>65</v>
      </c>
      <c r="F8" s="8" t="s">
        <v>22</v>
      </c>
      <c r="G8" s="8" t="s">
        <v>66</v>
      </c>
      <c r="H8" s="8" t="s">
        <v>67</v>
      </c>
      <c r="I8" s="8" t="s">
        <v>56</v>
      </c>
      <c r="J8" s="8" t="s">
        <v>68</v>
      </c>
      <c r="K8" s="8">
        <v>2.0</v>
      </c>
      <c r="L8" s="8">
        <v>10.0</v>
      </c>
      <c r="M8" s="8">
        <v>2.0</v>
      </c>
      <c r="N8" s="4">
        <f t="shared" si="1"/>
        <v>40</v>
      </c>
      <c r="O8" s="4"/>
      <c r="P8" s="4"/>
      <c r="Q8" s="9" t="s">
        <v>69</v>
      </c>
      <c r="R8" s="10"/>
      <c r="S8" s="11"/>
      <c r="T8" s="11"/>
      <c r="U8" s="11"/>
      <c r="V8" s="11"/>
      <c r="W8" s="4"/>
      <c r="X8" s="4"/>
      <c r="Y8" s="4"/>
      <c r="Z8" s="4"/>
    </row>
    <row r="9">
      <c r="E9" s="8" t="s">
        <v>70</v>
      </c>
      <c r="F9" s="8" t="s">
        <v>38</v>
      </c>
      <c r="G9" s="8" t="s">
        <v>66</v>
      </c>
      <c r="H9" s="8" t="s">
        <v>67</v>
      </c>
      <c r="I9" s="8" t="s">
        <v>56</v>
      </c>
      <c r="J9" s="8" t="s">
        <v>57</v>
      </c>
      <c r="K9" s="8">
        <v>2.0</v>
      </c>
      <c r="L9" s="8">
        <v>10.0</v>
      </c>
      <c r="M9" s="8">
        <v>2.0</v>
      </c>
      <c r="N9" s="4">
        <f t="shared" si="1"/>
        <v>40</v>
      </c>
      <c r="O9" s="4"/>
      <c r="P9" s="4"/>
      <c r="Q9" s="9" t="s">
        <v>71</v>
      </c>
      <c r="R9" s="12"/>
      <c r="S9" s="10"/>
      <c r="T9" s="10"/>
      <c r="U9" s="11"/>
      <c r="V9" s="11"/>
      <c r="W9" s="4"/>
      <c r="X9" s="4"/>
      <c r="Y9" s="4"/>
      <c r="Z9" s="4"/>
    </row>
    <row r="10">
      <c r="D10" s="8" t="s">
        <v>72</v>
      </c>
      <c r="G10" s="8" t="s">
        <v>73</v>
      </c>
      <c r="H10" s="8" t="s">
        <v>74</v>
      </c>
      <c r="I10" s="8" t="s">
        <v>56</v>
      </c>
      <c r="J10" s="8" t="s">
        <v>57</v>
      </c>
      <c r="K10" s="8">
        <v>2.0</v>
      </c>
      <c r="L10" s="8">
        <v>10.0</v>
      </c>
      <c r="M10" s="8">
        <v>2.0</v>
      </c>
      <c r="N10" s="4">
        <f t="shared" si="1"/>
        <v>40</v>
      </c>
      <c r="O10" s="4"/>
      <c r="P10" s="4"/>
      <c r="Q10" s="9" t="s">
        <v>75</v>
      </c>
      <c r="R10" s="12"/>
      <c r="S10" s="12"/>
      <c r="T10" s="10"/>
      <c r="U10" s="10"/>
      <c r="V10" s="11"/>
      <c r="W10" s="4"/>
      <c r="X10" s="4"/>
      <c r="Y10" s="4"/>
      <c r="Z10" s="4"/>
    </row>
    <row r="11">
      <c r="E11" s="8" t="s">
        <v>76</v>
      </c>
      <c r="F11" s="8" t="s">
        <v>38</v>
      </c>
      <c r="G11" s="8" t="s">
        <v>73</v>
      </c>
      <c r="H11" s="8" t="s">
        <v>67</v>
      </c>
      <c r="I11" s="8" t="s">
        <v>77</v>
      </c>
      <c r="J11" s="8" t="s">
        <v>57</v>
      </c>
      <c r="K11" s="8">
        <v>2.0</v>
      </c>
      <c r="L11" s="8">
        <v>10.0</v>
      </c>
      <c r="M11" s="8">
        <v>2.0</v>
      </c>
      <c r="N11" s="4">
        <f t="shared" si="1"/>
        <v>40</v>
      </c>
      <c r="O11" s="4"/>
      <c r="P11" s="4"/>
      <c r="Q11" s="9" t="s">
        <v>78</v>
      </c>
      <c r="R11" s="12"/>
      <c r="S11" s="12"/>
      <c r="T11" s="12"/>
      <c r="U11" s="10"/>
      <c r="V11" s="10"/>
      <c r="W11" s="4"/>
      <c r="X11" s="4"/>
      <c r="Y11" s="4"/>
      <c r="Z11" s="4"/>
    </row>
    <row r="12">
      <c r="E12" s="8" t="s">
        <v>79</v>
      </c>
      <c r="F12" s="8" t="s">
        <v>38</v>
      </c>
      <c r="G12" s="8" t="s">
        <v>73</v>
      </c>
      <c r="H12" s="8" t="s">
        <v>67</v>
      </c>
      <c r="I12" s="8" t="s">
        <v>56</v>
      </c>
      <c r="J12" s="8" t="s">
        <v>80</v>
      </c>
      <c r="K12" s="8">
        <v>2.0</v>
      </c>
      <c r="L12" s="8">
        <v>10.0</v>
      </c>
      <c r="M12" s="8">
        <v>2.0</v>
      </c>
      <c r="N12" s="4">
        <f t="shared" si="1"/>
        <v>40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81</v>
      </c>
      <c r="B13" s="8" t="s">
        <v>82</v>
      </c>
      <c r="C13" s="8" t="s">
        <v>83</v>
      </c>
      <c r="D13" s="8" t="s">
        <v>84</v>
      </c>
      <c r="E13" s="8" t="s">
        <v>85</v>
      </c>
      <c r="F13" s="8" t="s">
        <v>38</v>
      </c>
      <c r="G13" s="8" t="s">
        <v>86</v>
      </c>
      <c r="H13" s="8" t="s">
        <v>67</v>
      </c>
      <c r="I13" s="8" t="s">
        <v>56</v>
      </c>
      <c r="J13" s="8" t="s">
        <v>80</v>
      </c>
      <c r="K13" s="8">
        <v>2.0</v>
      </c>
      <c r="L13" s="8">
        <v>8.0</v>
      </c>
      <c r="M13" s="8">
        <v>6.0</v>
      </c>
      <c r="N13" s="4">
        <f t="shared" si="1"/>
        <v>96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D14" s="8" t="s">
        <v>30</v>
      </c>
      <c r="E14" s="8" t="s">
        <v>87</v>
      </c>
      <c r="F14" s="8" t="s">
        <v>22</v>
      </c>
      <c r="G14" s="8" t="s">
        <v>86</v>
      </c>
      <c r="H14" s="8" t="s">
        <v>67</v>
      </c>
      <c r="I14" s="8" t="s">
        <v>56</v>
      </c>
      <c r="J14" s="8" t="s">
        <v>88</v>
      </c>
      <c r="K14" s="8">
        <v>2.0</v>
      </c>
      <c r="L14" s="8">
        <v>8.0</v>
      </c>
      <c r="M14" s="8">
        <v>5.0</v>
      </c>
      <c r="N14" s="4">
        <f t="shared" si="1"/>
        <v>80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E15" s="8" t="s">
        <v>89</v>
      </c>
      <c r="F15" s="8" t="s">
        <v>38</v>
      </c>
      <c r="G15" s="8" t="s">
        <v>86</v>
      </c>
      <c r="H15" s="8" t="s">
        <v>67</v>
      </c>
      <c r="I15" s="8" t="s">
        <v>34</v>
      </c>
      <c r="J15" s="8" t="s">
        <v>88</v>
      </c>
      <c r="K15" s="8">
        <v>4.0</v>
      </c>
      <c r="L15" s="8">
        <v>8.0</v>
      </c>
      <c r="M15" s="8">
        <v>5.0</v>
      </c>
      <c r="N15" s="4">
        <f t="shared" si="1"/>
        <v>160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90</v>
      </c>
      <c r="B16" s="4"/>
      <c r="C16" s="13" t="s">
        <v>19</v>
      </c>
      <c r="D16" s="8" t="s">
        <v>84</v>
      </c>
      <c r="E16" s="8" t="s">
        <v>91</v>
      </c>
      <c r="F16" s="8" t="s">
        <v>22</v>
      </c>
      <c r="G16" s="8" t="s">
        <v>23</v>
      </c>
      <c r="H16" s="8" t="s">
        <v>24</v>
      </c>
      <c r="I16" s="8" t="s">
        <v>56</v>
      </c>
      <c r="J16" s="8" t="s">
        <v>92</v>
      </c>
      <c r="K16" s="8">
        <v>7.0</v>
      </c>
      <c r="L16" s="8">
        <v>8.0</v>
      </c>
      <c r="M16" s="8">
        <v>2.0</v>
      </c>
      <c r="N16" s="4">
        <f t="shared" si="1"/>
        <v>112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E17" s="8" t="s">
        <v>93</v>
      </c>
      <c r="F17" s="8" t="s">
        <v>38</v>
      </c>
      <c r="G17" s="8" t="s">
        <v>23</v>
      </c>
      <c r="H17" s="8" t="s">
        <v>24</v>
      </c>
      <c r="I17" s="8" t="s">
        <v>77</v>
      </c>
      <c r="J17" s="8" t="s">
        <v>94</v>
      </c>
      <c r="K17" s="8">
        <v>1.0</v>
      </c>
      <c r="L17" s="8">
        <v>10.0</v>
      </c>
      <c r="M17" s="8">
        <v>4.0</v>
      </c>
      <c r="N17" s="4">
        <f t="shared" si="1"/>
        <v>40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E18" s="8" t="s">
        <v>95</v>
      </c>
      <c r="F18" s="8" t="s">
        <v>22</v>
      </c>
      <c r="G18" s="8" t="s">
        <v>23</v>
      </c>
      <c r="H18" s="8" t="s">
        <v>24</v>
      </c>
      <c r="I18" s="8" t="s">
        <v>25</v>
      </c>
      <c r="J18" s="8" t="s">
        <v>26</v>
      </c>
      <c r="K18" s="8">
        <v>6.0</v>
      </c>
      <c r="L18" s="8">
        <v>8.0</v>
      </c>
      <c r="M18" s="8">
        <v>2.0</v>
      </c>
      <c r="N18" s="4">
        <f t="shared" si="1"/>
        <v>96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D19" s="8" t="s">
        <v>96</v>
      </c>
      <c r="E19" s="8" t="s">
        <v>97</v>
      </c>
      <c r="F19" s="8" t="s">
        <v>38</v>
      </c>
      <c r="G19" s="8" t="s">
        <v>98</v>
      </c>
      <c r="H19" s="8" t="s">
        <v>99</v>
      </c>
      <c r="I19" s="8" t="s">
        <v>100</v>
      </c>
      <c r="J19" s="8" t="s">
        <v>101</v>
      </c>
      <c r="K19" s="8">
        <v>4.0</v>
      </c>
      <c r="L19" s="8">
        <v>9.0</v>
      </c>
      <c r="M19" s="8">
        <v>3.0</v>
      </c>
      <c r="N19" s="4">
        <f t="shared" si="1"/>
        <v>108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E20" s="8" t="s">
        <v>102</v>
      </c>
      <c r="F20" s="8" t="s">
        <v>38</v>
      </c>
      <c r="G20" s="8" t="s">
        <v>98</v>
      </c>
      <c r="H20" s="8" t="s">
        <v>99</v>
      </c>
      <c r="I20" s="8" t="s">
        <v>100</v>
      </c>
      <c r="J20" s="8" t="s">
        <v>103</v>
      </c>
      <c r="K20" s="8">
        <v>2.0</v>
      </c>
      <c r="L20" s="8">
        <v>9.0</v>
      </c>
      <c r="M20" s="8">
        <v>3.0</v>
      </c>
      <c r="N20" s="4">
        <f t="shared" si="1"/>
        <v>54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D21" s="8" t="s">
        <v>104</v>
      </c>
      <c r="E21" s="8" t="s">
        <v>105</v>
      </c>
      <c r="F21" s="8" t="s">
        <v>38</v>
      </c>
      <c r="G21" s="8" t="s">
        <v>106</v>
      </c>
      <c r="H21" s="8" t="s">
        <v>46</v>
      </c>
      <c r="I21" s="8" t="s">
        <v>77</v>
      </c>
      <c r="J21" s="8" t="s">
        <v>107</v>
      </c>
      <c r="K21" s="8">
        <v>2.0</v>
      </c>
      <c r="L21" s="8">
        <v>8.0</v>
      </c>
      <c r="M21" s="8">
        <v>2.0</v>
      </c>
      <c r="N21" s="4">
        <f t="shared" si="1"/>
        <v>32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E22" s="8" t="s">
        <v>108</v>
      </c>
      <c r="F22" s="8" t="s">
        <v>22</v>
      </c>
      <c r="G22" s="8" t="s">
        <v>106</v>
      </c>
      <c r="H22" s="8" t="s">
        <v>46</v>
      </c>
      <c r="I22" s="8" t="s">
        <v>56</v>
      </c>
      <c r="J22" s="8" t="s">
        <v>109</v>
      </c>
      <c r="K22" s="8">
        <v>3.0</v>
      </c>
      <c r="L22" s="8">
        <v>9.0</v>
      </c>
      <c r="M22" s="8">
        <v>2.0</v>
      </c>
      <c r="N22" s="4">
        <f t="shared" si="1"/>
        <v>54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E23" s="8" t="s">
        <v>110</v>
      </c>
      <c r="F23" s="8" t="s">
        <v>38</v>
      </c>
      <c r="G23" s="8" t="s">
        <v>106</v>
      </c>
      <c r="H23" s="8" t="s">
        <v>46</v>
      </c>
      <c r="I23" s="8" t="s">
        <v>25</v>
      </c>
      <c r="J23" s="8" t="s">
        <v>111</v>
      </c>
      <c r="K23" s="8">
        <v>6.0</v>
      </c>
      <c r="L23" s="8">
        <v>7.0</v>
      </c>
      <c r="M23" s="8">
        <v>1.0</v>
      </c>
      <c r="N23" s="4">
        <f t="shared" si="1"/>
        <v>42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D24" s="8" t="s">
        <v>112</v>
      </c>
      <c r="E24" s="8" t="s">
        <v>113</v>
      </c>
      <c r="F24" s="8" t="s">
        <v>38</v>
      </c>
      <c r="G24" s="8" t="s">
        <v>114</v>
      </c>
      <c r="H24" s="8" t="s">
        <v>99</v>
      </c>
      <c r="I24" s="8" t="s">
        <v>100</v>
      </c>
      <c r="J24" s="8" t="s">
        <v>115</v>
      </c>
      <c r="K24" s="8">
        <v>4.0</v>
      </c>
      <c r="L24" s="8">
        <v>6.0</v>
      </c>
      <c r="M24" s="8">
        <v>4.0</v>
      </c>
      <c r="N24" s="4">
        <f t="shared" si="1"/>
        <v>96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D25" s="8" t="s">
        <v>116</v>
      </c>
      <c r="E25" s="8" t="s">
        <v>117</v>
      </c>
      <c r="F25" s="8" t="s">
        <v>38</v>
      </c>
      <c r="G25" s="8" t="s">
        <v>106</v>
      </c>
      <c r="H25" s="8" t="s">
        <v>46</v>
      </c>
      <c r="I25" s="8" t="s">
        <v>100</v>
      </c>
      <c r="J25" s="8" t="s">
        <v>118</v>
      </c>
      <c r="K25" s="8">
        <v>2.0</v>
      </c>
      <c r="L25" s="8">
        <v>8.0</v>
      </c>
      <c r="M25" s="8">
        <v>6.0</v>
      </c>
      <c r="N25" s="4">
        <f t="shared" si="1"/>
        <v>96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 t="s">
        <v>119</v>
      </c>
      <c r="B26" s="4"/>
      <c r="C26" s="8" t="s">
        <v>19</v>
      </c>
      <c r="D26" s="8" t="s">
        <v>84</v>
      </c>
      <c r="E26" s="8" t="s">
        <v>120</v>
      </c>
      <c r="F26" s="8" t="s">
        <v>22</v>
      </c>
      <c r="G26" s="8" t="s">
        <v>121</v>
      </c>
      <c r="H26" s="8" t="s">
        <v>99</v>
      </c>
      <c r="I26" s="8" t="s">
        <v>25</v>
      </c>
      <c r="J26" s="8" t="s">
        <v>47</v>
      </c>
      <c r="K26" s="8">
        <v>7.0</v>
      </c>
      <c r="L26" s="8">
        <v>10.0</v>
      </c>
      <c r="M26" s="8">
        <v>2.0</v>
      </c>
      <c r="N26" s="4">
        <f t="shared" si="1"/>
        <v>140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E27" s="8" t="s">
        <v>122</v>
      </c>
      <c r="F27" s="8" t="s">
        <v>38</v>
      </c>
      <c r="G27" s="8" t="s">
        <v>45</v>
      </c>
      <c r="H27" s="8" t="s">
        <v>46</v>
      </c>
      <c r="I27" s="8" t="s">
        <v>77</v>
      </c>
      <c r="J27" s="8" t="s">
        <v>123</v>
      </c>
      <c r="K27" s="8">
        <v>2.0</v>
      </c>
      <c r="L27" s="8">
        <v>7.0</v>
      </c>
      <c r="M27" s="8">
        <v>6.0</v>
      </c>
      <c r="N27" s="4">
        <f t="shared" si="1"/>
        <v>84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E28" s="8" t="s">
        <v>93</v>
      </c>
      <c r="F28" s="8" t="s">
        <v>38</v>
      </c>
      <c r="G28" s="8" t="s">
        <v>121</v>
      </c>
      <c r="H28" s="8" t="s">
        <v>99</v>
      </c>
      <c r="I28" s="8" t="s">
        <v>77</v>
      </c>
      <c r="J28" s="8" t="s">
        <v>124</v>
      </c>
      <c r="K28" s="8">
        <v>1.0</v>
      </c>
      <c r="L28" s="8">
        <v>10.0</v>
      </c>
      <c r="M28" s="8">
        <v>6.0</v>
      </c>
      <c r="N28" s="4">
        <f t="shared" si="1"/>
        <v>60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D29" s="8" t="s">
        <v>125</v>
      </c>
      <c r="E29" s="8" t="s">
        <v>126</v>
      </c>
      <c r="F29" s="8" t="s">
        <v>38</v>
      </c>
      <c r="G29" s="8" t="s">
        <v>127</v>
      </c>
      <c r="H29" s="8" t="s">
        <v>99</v>
      </c>
      <c r="I29" s="8" t="s">
        <v>77</v>
      </c>
      <c r="J29" s="8" t="s">
        <v>128</v>
      </c>
      <c r="K29" s="8">
        <v>1.0</v>
      </c>
      <c r="L29" s="8">
        <v>10.0</v>
      </c>
      <c r="M29" s="8">
        <v>6.0</v>
      </c>
      <c r="N29" s="4">
        <f t="shared" si="1"/>
        <v>60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E30" s="8" t="s">
        <v>129</v>
      </c>
      <c r="F30" s="8" t="s">
        <v>38</v>
      </c>
      <c r="G30" s="8" t="s">
        <v>121</v>
      </c>
      <c r="H30" s="8" t="s">
        <v>99</v>
      </c>
      <c r="I30" s="8" t="s">
        <v>77</v>
      </c>
      <c r="J30" s="8" t="s">
        <v>130</v>
      </c>
      <c r="K30" s="8">
        <v>2.0</v>
      </c>
      <c r="L30" s="8">
        <v>9.0</v>
      </c>
      <c r="M30" s="8">
        <v>4.0</v>
      </c>
      <c r="N30" s="4">
        <f t="shared" si="1"/>
        <v>72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D31" s="8" t="s">
        <v>131</v>
      </c>
      <c r="E31" s="8" t="s">
        <v>132</v>
      </c>
      <c r="F31" s="8" t="s">
        <v>38</v>
      </c>
      <c r="G31" s="8" t="s">
        <v>133</v>
      </c>
      <c r="H31" s="8" t="s">
        <v>46</v>
      </c>
      <c r="I31" s="8" t="s">
        <v>100</v>
      </c>
      <c r="J31" s="8" t="s">
        <v>134</v>
      </c>
      <c r="K31" s="8">
        <v>2.0</v>
      </c>
      <c r="L31" s="8">
        <v>10.0</v>
      </c>
      <c r="M31" s="8">
        <v>5.0</v>
      </c>
      <c r="N31" s="4">
        <f t="shared" si="1"/>
        <v>100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0.5" customHeight="1">
      <c r="D32" s="8" t="s">
        <v>135</v>
      </c>
      <c r="E32" s="8" t="s">
        <v>136</v>
      </c>
      <c r="F32" s="8" t="s">
        <v>38</v>
      </c>
      <c r="G32" s="8" t="s">
        <v>137</v>
      </c>
      <c r="H32" s="8" t="s">
        <v>138</v>
      </c>
      <c r="I32" s="8" t="s">
        <v>100</v>
      </c>
      <c r="J32" s="8" t="s">
        <v>139</v>
      </c>
      <c r="K32" s="8">
        <v>7.0</v>
      </c>
      <c r="L32" s="8">
        <v>5.0</v>
      </c>
      <c r="M32" s="8">
        <v>3.0</v>
      </c>
      <c r="N32" s="4">
        <f t="shared" si="1"/>
        <v>105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 t="s">
        <v>140</v>
      </c>
      <c r="B33" s="4"/>
      <c r="C33" s="8" t="s">
        <v>19</v>
      </c>
      <c r="D33" s="8" t="s">
        <v>141</v>
      </c>
      <c r="E33" s="8" t="s">
        <v>142</v>
      </c>
      <c r="F33" s="8" t="s">
        <v>22</v>
      </c>
      <c r="G33" s="8" t="s">
        <v>143</v>
      </c>
      <c r="H33" s="8" t="s">
        <v>46</v>
      </c>
      <c r="I33" s="8" t="s">
        <v>77</v>
      </c>
      <c r="J33" s="8" t="s">
        <v>144</v>
      </c>
      <c r="K33" s="8">
        <v>5.0</v>
      </c>
      <c r="L33" s="8">
        <v>10.0</v>
      </c>
      <c r="M33" s="8">
        <v>4.0</v>
      </c>
      <c r="N33" s="4">
        <f t="shared" si="1"/>
        <v>200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D34" s="8" t="s">
        <v>145</v>
      </c>
      <c r="E34" s="8" t="s">
        <v>146</v>
      </c>
      <c r="F34" s="8" t="s">
        <v>22</v>
      </c>
      <c r="G34" s="8" t="s">
        <v>143</v>
      </c>
      <c r="H34" s="8" t="s">
        <v>46</v>
      </c>
      <c r="I34" s="8" t="s">
        <v>56</v>
      </c>
      <c r="J34" s="8" t="s">
        <v>147</v>
      </c>
      <c r="K34" s="8">
        <v>4.0</v>
      </c>
      <c r="L34" s="8">
        <v>8.0</v>
      </c>
      <c r="M34" s="8">
        <v>2.0</v>
      </c>
      <c r="N34" s="4">
        <f t="shared" si="1"/>
        <v>64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 t="s">
        <v>148</v>
      </c>
      <c r="B35" s="4"/>
      <c r="C35" s="8" t="s">
        <v>19</v>
      </c>
      <c r="D35" s="8" t="s">
        <v>149</v>
      </c>
      <c r="E35" s="8" t="s">
        <v>150</v>
      </c>
      <c r="F35" s="8" t="s">
        <v>22</v>
      </c>
      <c r="G35" s="8" t="s">
        <v>151</v>
      </c>
      <c r="H35" s="8" t="s">
        <v>152</v>
      </c>
      <c r="I35" s="8" t="s">
        <v>56</v>
      </c>
      <c r="J35" s="8" t="s">
        <v>147</v>
      </c>
      <c r="K35" s="8">
        <v>3.0</v>
      </c>
      <c r="L35" s="8">
        <v>10.0</v>
      </c>
      <c r="M35" s="8">
        <v>2.0</v>
      </c>
      <c r="N35" s="4">
        <f t="shared" si="1"/>
        <v>60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D36" s="8" t="s">
        <v>153</v>
      </c>
      <c r="E36" s="8" t="s">
        <v>154</v>
      </c>
      <c r="F36" s="8" t="s">
        <v>22</v>
      </c>
      <c r="G36" s="8" t="s">
        <v>155</v>
      </c>
      <c r="H36" s="8" t="s">
        <v>99</v>
      </c>
      <c r="I36" s="8" t="s">
        <v>56</v>
      </c>
      <c r="J36" s="8" t="s">
        <v>147</v>
      </c>
      <c r="K36" s="8">
        <v>8.0</v>
      </c>
      <c r="L36" s="8">
        <v>10.0</v>
      </c>
      <c r="M36" s="8">
        <v>1.0</v>
      </c>
      <c r="N36" s="4">
        <f t="shared" si="1"/>
        <v>80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34">
    <mergeCell ref="D8:D9"/>
    <mergeCell ref="E9:E10"/>
    <mergeCell ref="F9:F10"/>
    <mergeCell ref="D10:D12"/>
    <mergeCell ref="D14:D15"/>
    <mergeCell ref="D16:D18"/>
    <mergeCell ref="D19:D20"/>
    <mergeCell ref="D21:D23"/>
    <mergeCell ref="D26:D28"/>
    <mergeCell ref="D29:D30"/>
    <mergeCell ref="A1:B1"/>
    <mergeCell ref="D1:F1"/>
    <mergeCell ref="G1:H1"/>
    <mergeCell ref="A4:A5"/>
    <mergeCell ref="B4:B5"/>
    <mergeCell ref="C4:C5"/>
    <mergeCell ref="A7:A12"/>
    <mergeCell ref="B7:B12"/>
    <mergeCell ref="C7:C12"/>
    <mergeCell ref="A13:A15"/>
    <mergeCell ref="B13:B15"/>
    <mergeCell ref="C13:C15"/>
    <mergeCell ref="B16:B25"/>
    <mergeCell ref="C16:C25"/>
    <mergeCell ref="A35:A36"/>
    <mergeCell ref="B35:B36"/>
    <mergeCell ref="C35:C36"/>
    <mergeCell ref="A16:A25"/>
    <mergeCell ref="A26:A32"/>
    <mergeCell ref="B26:B32"/>
    <mergeCell ref="C26:C32"/>
    <mergeCell ref="A33:A34"/>
    <mergeCell ref="B33:B34"/>
    <mergeCell ref="C33:C34"/>
  </mergeCells>
  <drawing r:id="rId2"/>
  <legacyDrawing r:id="rId3"/>
</worksheet>
</file>